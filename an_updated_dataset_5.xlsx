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1952AEB0-D88F-4A69-B0DC-7D239B8C2D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DA's summary" sheetId="1" r:id="rId1"/>
    <sheet name="Summary of fun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6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2" i="1"/>
</calcChain>
</file>

<file path=xl/sharedStrings.xml><?xml version="1.0" encoding="utf-8"?>
<sst xmlns="http://schemas.openxmlformats.org/spreadsheetml/2006/main" count="79" uniqueCount="77">
  <si>
    <t>S/N</t>
  </si>
  <si>
    <t>MDA'S CODE</t>
  </si>
  <si>
    <t>MDA</t>
  </si>
  <si>
    <t xml:space="preserve"> TOTAL ALLOCATION </t>
  </si>
  <si>
    <t>PRESIDENCY</t>
  </si>
  <si>
    <t>NATIONAL ASSEMBLY</t>
  </si>
  <si>
    <t>MINISTRY OF DEFENCE</t>
  </si>
  <si>
    <t>MINISTRY OF FOREIGN AFFAIRS</t>
  </si>
  <si>
    <t>FEDERAL MINISTRY OF INFORMATION AND NATIONAL ORIENTATION</t>
  </si>
  <si>
    <t>MINISTRY OF INTERIOR</t>
  </si>
  <si>
    <t>OFFICE OF THE HEAD OF THE CIVIL SERVICE OF THE FEDERATION</t>
  </si>
  <si>
    <t>AUDITOR GENERAL FOR THE FEDERATION</t>
  </si>
  <si>
    <t>PUBLIC COMPLAINTS COMMISSION</t>
  </si>
  <si>
    <t>FEDERAL CIVIL SERVICE COMMISSION</t>
  </si>
  <si>
    <t>INDEPENDENT NATIONAL ELECTORAL COMMISSION</t>
  </si>
  <si>
    <t>FEDERAL CHARACTER COMMISSION</t>
  </si>
  <si>
    <t>FEDERAL MINISTRY OF POLICE AFFAIRS</t>
  </si>
  <si>
    <t>FEDERAL MINISTRY OF COMMUNICATIONS AND DIGITAL ECONOMY</t>
  </si>
  <si>
    <t>NATIONAL SECURITY ADVISER</t>
  </si>
  <si>
    <t>CODE OF CONDUCT TRIBUNAL</t>
  </si>
  <si>
    <t>INFRASTRUCTURE CONCESSION REGULATORY</t>
  </si>
  <si>
    <t>POLICE SERVICE COMMISSION</t>
  </si>
  <si>
    <t>SECRETARY TO THE GOVERNMENT OF THE FEDERATION</t>
  </si>
  <si>
    <t>FEDERAL MINISTRY OF SPECIAL DUTIES &amp; INTER-GOVERNMENTAL AFFAIRS</t>
  </si>
  <si>
    <t>FEDERAL MINISTRY OF AGRICULTURE AND FOOD SECURITY</t>
  </si>
  <si>
    <t>FEDERAL MINISTRY OF FINANCE</t>
  </si>
  <si>
    <t>FEDERAL MINISTRY OF INDUSTRY, TRADE AND INVESTMENT</t>
  </si>
  <si>
    <t>FEDERAL MINISTRY OF LABOUR AND EMPLOYMENT</t>
  </si>
  <si>
    <t>FEDERAL MINISTRY OF SCIENCE, TECHNOLOGY AND INNOVATION</t>
  </si>
  <si>
    <t>FEDERAL MINISTRY OF TRANSPORT</t>
  </si>
  <si>
    <t>FEDERAL MINISTRY OF AVIATION AND AEROSPACE</t>
  </si>
  <si>
    <t>FEDERAL MINISTRY OF POWER</t>
  </si>
  <si>
    <t>MINISTRY OF PETROLEUM RESOURCES</t>
  </si>
  <si>
    <t>FEDERAL MINISTRY OF STEEL DEVELOPMENT</t>
  </si>
  <si>
    <t>FEDERAL MINISTRY OF WORKS</t>
  </si>
  <si>
    <t>FEDERAL MINISTRY OF BUDGET AND ECONOMIC PLANNING</t>
  </si>
  <si>
    <t>NATIONAL SALARIES, INCOMES AND WAGES COMMISSION</t>
  </si>
  <si>
    <t>REVENUE MOBILISATION, ALLOCATION AND FISCAL COMMISSION</t>
  </si>
  <si>
    <t>FISCAL RESPONSIBILITY COMMISSION</t>
  </si>
  <si>
    <t>FEDERAL MINISTRY OF WATER RESOURCES</t>
  </si>
  <si>
    <t>FEDERAL MINISTRY OF HOUSING AND URBAN DEVELOPMENT</t>
  </si>
  <si>
    <t>FEDERAL MINISTRY OF MARINE AND BLUE ECONOMY</t>
  </si>
  <si>
    <t>FEDERAL MINISTRY OF TOURISM</t>
  </si>
  <si>
    <t>FEDERAL MINISTRY OF ARTS, CULTURE AND CREATIVE ECONOMY</t>
  </si>
  <si>
    <t>FEDERAL MINISTRY OF SOLID MINERALS DEVELOPMENT</t>
  </si>
  <si>
    <t>FEDERAL MINISTRY OF LIVESTOCK</t>
  </si>
  <si>
    <t>JUDICIARY</t>
  </si>
  <si>
    <t>FEDERAL MINISTRY OF JUSTICE</t>
  </si>
  <si>
    <t>INDEPENDENT CORRUPT PRACTICES AND RELATED OFFENCES COMMISSION</t>
  </si>
  <si>
    <t>CODE OF CONTACT BUREAU</t>
  </si>
  <si>
    <t>FEDERAL CAPITAL TERRITORY</t>
  </si>
  <si>
    <t>FEDERAL MINISTRY OF NIGER DELTA</t>
  </si>
  <si>
    <t>NATIONAL SPORT COMMISSION</t>
  </si>
  <si>
    <t>FEDERAL MINISTRY OF WOMEN AFFAIRS</t>
  </si>
  <si>
    <t>FEDERAL MINISTRY OF EDUCATION</t>
  </si>
  <si>
    <t>FEDERAL MINISTRY OF HEALTH AND SOCIAL WELFARE</t>
  </si>
  <si>
    <t>FEDERAL MINISTRY OF ENVIRONMENT</t>
  </si>
  <si>
    <t>NATIONAL POPULATION COMMISSION</t>
  </si>
  <si>
    <t>FEDERAL MINISTRY OF HUMANITARIAN AFFAIRS AND POVERTY ALLEVIATION</t>
  </si>
  <si>
    <t>FEDERAL MINISTRY OF YOUTH DEVELOPMENT</t>
  </si>
  <si>
    <t>CODE</t>
  </si>
  <si>
    <t>FUND</t>
  </si>
  <si>
    <t>MAIN ENVELOP - PERSONNEL</t>
  </si>
  <si>
    <t>MAIN ENVELOP - OVERHEAD</t>
  </si>
  <si>
    <t>CRF CHARGES - PENSIONS AND GRATITUTIES</t>
  </si>
  <si>
    <t>CRF CHARGES - SERVICE WIDE VOTES</t>
  </si>
  <si>
    <t>CRF CHARGES - CAPITAL SUPPLEMENTATION</t>
  </si>
  <si>
    <t>STATUTORY TRANSFERS</t>
  </si>
  <si>
    <t>DEBT SERVICES</t>
  </si>
  <si>
    <t>CAPITAL DEVELOPMENT FUND MAIN</t>
  </si>
  <si>
    <t>PERSONNEL</t>
  </si>
  <si>
    <t>CAPITAL</t>
  </si>
  <si>
    <t>OVERHEAD</t>
  </si>
  <si>
    <t>PERSONNEL %</t>
  </si>
  <si>
    <t>OVERHEAD %</t>
  </si>
  <si>
    <t>CAPITAL %</t>
  </si>
  <si>
    <t>ALLOCATION_RANK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</si>
</sst>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topLeftCell="C1" zoomScale="86" zoomScaleNormal="86" workbookViewId="0">
      <selection activeCell="I5" sqref="I5"/>
    </sheetView>
  </sheetViews>
  <sheetFormatPr defaultRowHeight="14.4" x14ac:dyDescent="0.3"/>
  <cols>
    <col min="2" max="2" width="22.44140625" customWidth="1"/>
    <col min="3" max="3" width="60.109375" customWidth="1"/>
    <col min="4" max="4" width="26.33203125" style="2" customWidth="1"/>
    <col min="5" max="5" width="21.109375" style="2" customWidth="1"/>
    <col min="6" max="6" width="21" style="2" customWidth="1"/>
    <col min="7" max="7" width="21.44140625" style="2" customWidth="1"/>
    <col min="8" max="8" width="20" style="2" customWidth="1"/>
    <col min="9" max="9" width="17.109375" style="2" customWidth="1"/>
    <col min="10" max="10" width="14.44140625" style="2" customWidth="1"/>
    <col min="11" max="11" width="17.6640625" customWidth="1"/>
  </cols>
  <sheetData>
    <row r="1" spans="1:11" x14ac:dyDescent="0.3">
      <c r="A1" t="s">
        <v>0</v>
      </c>
      <c r="B1" t="s">
        <v>1</v>
      </c>
      <c r="C1" t="s">
        <v>2</v>
      </c>
      <c r="D1" s="2" t="s">
        <v>70</v>
      </c>
      <c r="E1" s="2" t="s">
        <v>72</v>
      </c>
      <c r="F1" s="2" t="s">
        <v>71</v>
      </c>
      <c r="G1" s="2" t="s">
        <v>3</v>
      </c>
      <c r="H1" s="2" t="s">
        <v>73</v>
      </c>
      <c r="I1" s="2" t="s">
        <v>74</v>
      </c>
      <c r="J1" s="2" t="s">
        <v>75</v>
      </c>
      <c r="K1" s="2" t="s">
        <v>76</v>
      </c>
    </row>
    <row r="2" spans="1:11" x14ac:dyDescent="0.3">
      <c r="A2">
        <v>1</v>
      </c>
      <c r="B2">
        <v>111</v>
      </c>
      <c r="C2" t="s">
        <v>4</v>
      </c>
      <c r="D2" s="2">
        <v>200839074546</v>
      </c>
      <c r="E2" s="2">
        <v>53711450216</v>
      </c>
      <c r="F2" s="2">
        <v>100549795959</v>
      </c>
      <c r="G2" s="2">
        <v>355100320721</v>
      </c>
      <c r="H2" s="2">
        <f>D2/G2*100</f>
        <v>56.558404154131402</v>
      </c>
      <c r="I2" s="2">
        <f>E2/G2*100</f>
        <v>15.12571154735755</v>
      </c>
      <c r="J2" s="2">
        <f>F2/G2*100</f>
        <v>28.315884298511047</v>
      </c>
      <c r="K2">
        <f>RANK(G2,$G$2:$G$57,0)</f>
        <v>20</v>
      </c>
    </row>
    <row r="3" spans="1:11" x14ac:dyDescent="0.3">
      <c r="A3">
        <v>2</v>
      </c>
      <c r="B3">
        <v>112</v>
      </c>
      <c r="C3" t="s">
        <v>5</v>
      </c>
      <c r="D3" s="2">
        <v>344852880669</v>
      </c>
      <c r="E3" s="2">
        <v>0</v>
      </c>
      <c r="F3" s="2">
        <v>0</v>
      </c>
      <c r="G3" s="2">
        <v>344852880669</v>
      </c>
      <c r="H3" s="2">
        <f t="shared" ref="H3:H57" si="0">D3/G3*100</f>
        <v>100</v>
      </c>
      <c r="I3" s="2">
        <f t="shared" ref="I3:I57" si="1">E3/G3*100</f>
        <v>0</v>
      </c>
      <c r="J3" s="2">
        <f t="shared" ref="J3:J57" si="2">F3/G3*100</f>
        <v>0</v>
      </c>
      <c r="K3">
        <f t="shared" ref="K3:K59" si="3">RANK(G3,$G$2:$G$57,0)</f>
        <v>21</v>
      </c>
    </row>
    <row r="4" spans="1:11" x14ac:dyDescent="0.3">
      <c r="A4">
        <v>3</v>
      </c>
      <c r="B4">
        <v>116</v>
      </c>
      <c r="C4" t="s">
        <v>6</v>
      </c>
      <c r="D4" s="2">
        <v>2392883869930</v>
      </c>
      <c r="E4" s="2">
        <v>297034773462</v>
      </c>
      <c r="F4" s="2">
        <v>464474756899</v>
      </c>
      <c r="G4" s="2">
        <v>3154393400291</v>
      </c>
      <c r="H4" s="2">
        <f t="shared" si="0"/>
        <v>75.858764785307088</v>
      </c>
      <c r="I4" s="2">
        <f t="shared" si="1"/>
        <v>9.4165418122735698</v>
      </c>
      <c r="J4" s="2">
        <f t="shared" si="2"/>
        <v>14.724693402419343</v>
      </c>
      <c r="K4">
        <f t="shared" si="3"/>
        <v>4</v>
      </c>
    </row>
    <row r="5" spans="1:11" x14ac:dyDescent="0.3">
      <c r="A5">
        <v>4</v>
      </c>
      <c r="B5">
        <v>119</v>
      </c>
      <c r="C5" t="s">
        <v>7</v>
      </c>
      <c r="D5" s="2">
        <v>215652200315</v>
      </c>
      <c r="E5" s="2">
        <v>72247887924</v>
      </c>
      <c r="F5" s="2">
        <v>56135718477</v>
      </c>
      <c r="G5" s="2">
        <v>344035806716</v>
      </c>
      <c r="H5" s="2">
        <f t="shared" si="0"/>
        <v>62.683068478688888</v>
      </c>
      <c r="I5" s="2">
        <f t="shared" si="1"/>
        <v>21.000107114908626</v>
      </c>
      <c r="J5" s="2">
        <f t="shared" si="2"/>
        <v>16.316824406402493</v>
      </c>
      <c r="K5">
        <f t="shared" si="3"/>
        <v>22</v>
      </c>
    </row>
    <row r="6" spans="1:11" x14ac:dyDescent="0.3">
      <c r="A6">
        <v>5</v>
      </c>
      <c r="B6">
        <v>123</v>
      </c>
      <c r="C6" t="s">
        <v>8</v>
      </c>
      <c r="D6" s="2">
        <v>70205023993</v>
      </c>
      <c r="E6" s="2">
        <v>5285850558</v>
      </c>
      <c r="F6" s="2">
        <v>22672347771</v>
      </c>
      <c r="G6" s="2">
        <v>98163222322</v>
      </c>
      <c r="H6" s="2">
        <f t="shared" si="0"/>
        <v>71.518662827418098</v>
      </c>
      <c r="I6" s="2">
        <f t="shared" si="1"/>
        <v>5.3847565645930855</v>
      </c>
      <c r="J6" s="2">
        <f t="shared" si="2"/>
        <v>23.096580607988816</v>
      </c>
      <c r="K6">
        <f t="shared" si="3"/>
        <v>33</v>
      </c>
    </row>
    <row r="7" spans="1:11" x14ac:dyDescent="0.3">
      <c r="A7">
        <v>6</v>
      </c>
      <c r="B7">
        <v>124</v>
      </c>
      <c r="C7" t="s">
        <v>9</v>
      </c>
      <c r="D7" s="2">
        <v>591180722746</v>
      </c>
      <c r="E7" s="2">
        <v>70565942515</v>
      </c>
      <c r="F7" s="2">
        <v>34670127338</v>
      </c>
      <c r="G7" s="2">
        <v>696416792599</v>
      </c>
      <c r="H7" s="2">
        <f t="shared" si="0"/>
        <v>84.888924136900386</v>
      </c>
      <c r="I7" s="2">
        <f t="shared" si="1"/>
        <v>10.132716968476691</v>
      </c>
      <c r="J7" s="2">
        <f t="shared" si="2"/>
        <v>4.9783588946229242</v>
      </c>
      <c r="K7">
        <f t="shared" si="3"/>
        <v>13</v>
      </c>
    </row>
    <row r="8" spans="1:11" x14ac:dyDescent="0.3">
      <c r="A8">
        <v>7</v>
      </c>
      <c r="B8">
        <v>125</v>
      </c>
      <c r="C8" t="s">
        <v>10</v>
      </c>
      <c r="D8" s="2">
        <v>7932136476</v>
      </c>
      <c r="E8" s="2">
        <v>9238709290</v>
      </c>
      <c r="F8" s="2">
        <v>9771406131</v>
      </c>
      <c r="G8" s="2">
        <v>26942251897</v>
      </c>
      <c r="H8" s="2">
        <f t="shared" si="0"/>
        <v>29.441252744293571</v>
      </c>
      <c r="I8" s="2">
        <f t="shared" si="1"/>
        <v>34.290783581563659</v>
      </c>
      <c r="J8" s="2">
        <f t="shared" si="2"/>
        <v>36.26796367414277</v>
      </c>
      <c r="K8">
        <f t="shared" si="3"/>
        <v>42</v>
      </c>
    </row>
    <row r="9" spans="1:11" x14ac:dyDescent="0.3">
      <c r="A9">
        <v>8</v>
      </c>
      <c r="B9">
        <v>140</v>
      </c>
      <c r="C9" t="s">
        <v>11</v>
      </c>
      <c r="D9" s="2">
        <v>5339954629</v>
      </c>
      <c r="E9" s="2">
        <v>5686191179</v>
      </c>
      <c r="F9" s="2">
        <v>4854988680</v>
      </c>
      <c r="G9" s="2">
        <v>15881134488</v>
      </c>
      <c r="H9" s="2">
        <f t="shared" si="0"/>
        <v>33.624516139164626</v>
      </c>
      <c r="I9" s="2">
        <f t="shared" si="1"/>
        <v>35.80469130399068</v>
      </c>
      <c r="J9" s="2">
        <f t="shared" si="2"/>
        <v>30.570792556844694</v>
      </c>
      <c r="K9">
        <f t="shared" si="3"/>
        <v>45</v>
      </c>
    </row>
    <row r="10" spans="1:11" x14ac:dyDescent="0.3">
      <c r="A10">
        <v>9</v>
      </c>
      <c r="B10">
        <v>145</v>
      </c>
      <c r="C10" t="s">
        <v>12</v>
      </c>
      <c r="D10" s="2">
        <v>29460000000</v>
      </c>
      <c r="E10" s="2">
        <v>0</v>
      </c>
      <c r="F10" s="2">
        <v>0</v>
      </c>
      <c r="G10" s="2">
        <v>29460000000</v>
      </c>
      <c r="H10" s="2">
        <f t="shared" si="0"/>
        <v>100</v>
      </c>
      <c r="I10" s="2">
        <f t="shared" si="1"/>
        <v>0</v>
      </c>
      <c r="J10" s="2">
        <f t="shared" si="2"/>
        <v>0</v>
      </c>
      <c r="K10">
        <f t="shared" si="3"/>
        <v>41</v>
      </c>
    </row>
    <row r="11" spans="1:11" x14ac:dyDescent="0.3">
      <c r="A11">
        <v>10</v>
      </c>
      <c r="B11">
        <v>147</v>
      </c>
      <c r="C11" t="s">
        <v>13</v>
      </c>
      <c r="D11" s="2">
        <v>1049573548</v>
      </c>
      <c r="E11" s="2">
        <v>1045585105</v>
      </c>
      <c r="F11" s="2">
        <v>509544220</v>
      </c>
      <c r="G11" s="2">
        <v>2604702873</v>
      </c>
      <c r="H11" s="2">
        <f t="shared" si="0"/>
        <v>40.295327305073386</v>
      </c>
      <c r="I11" s="2">
        <f t="shared" si="1"/>
        <v>40.142202622740378</v>
      </c>
      <c r="J11" s="2">
        <f t="shared" si="2"/>
        <v>19.562470072186233</v>
      </c>
      <c r="K11">
        <f t="shared" si="3"/>
        <v>53</v>
      </c>
    </row>
    <row r="12" spans="1:11" x14ac:dyDescent="0.3">
      <c r="A12">
        <v>11</v>
      </c>
      <c r="B12">
        <v>148</v>
      </c>
      <c r="C12" t="s">
        <v>14</v>
      </c>
      <c r="D12" s="2">
        <v>1013778401602</v>
      </c>
      <c r="E12" s="2">
        <v>0</v>
      </c>
      <c r="F12" s="2">
        <v>0</v>
      </c>
      <c r="G12" s="2">
        <v>1013778401602</v>
      </c>
      <c r="H12" s="2">
        <f t="shared" si="0"/>
        <v>100</v>
      </c>
      <c r="I12" s="2">
        <f t="shared" si="1"/>
        <v>0</v>
      </c>
      <c r="J12" s="2">
        <f t="shared" si="2"/>
        <v>0</v>
      </c>
      <c r="K12">
        <f t="shared" si="3"/>
        <v>11</v>
      </c>
    </row>
    <row r="13" spans="1:11" x14ac:dyDescent="0.3">
      <c r="A13">
        <v>12</v>
      </c>
      <c r="B13">
        <v>149</v>
      </c>
      <c r="C13" t="s">
        <v>15</v>
      </c>
      <c r="D13" s="2">
        <v>5220293330</v>
      </c>
      <c r="E13" s="2">
        <v>901855024</v>
      </c>
      <c r="F13" s="2">
        <v>409042109</v>
      </c>
      <c r="G13" s="2">
        <v>6531190463</v>
      </c>
      <c r="H13" s="2">
        <f t="shared" si="0"/>
        <v>79.928664759871964</v>
      </c>
      <c r="I13" s="2">
        <f t="shared" si="1"/>
        <v>13.808432461265982</v>
      </c>
      <c r="J13" s="2">
        <f t="shared" si="2"/>
        <v>6.2629027788620464</v>
      </c>
      <c r="K13">
        <f t="shared" si="3"/>
        <v>49</v>
      </c>
    </row>
    <row r="14" spans="1:11" x14ac:dyDescent="0.3">
      <c r="A14">
        <v>13</v>
      </c>
      <c r="B14">
        <v>155</v>
      </c>
      <c r="C14" t="s">
        <v>16</v>
      </c>
      <c r="D14" s="2">
        <v>1189865619348</v>
      </c>
      <c r="E14" s="2">
        <v>79582667096</v>
      </c>
      <c r="F14" s="2">
        <v>60913608673</v>
      </c>
      <c r="G14" s="2">
        <v>1330361895117</v>
      </c>
      <c r="H14" s="2">
        <f t="shared" si="0"/>
        <v>89.439243841492925</v>
      </c>
      <c r="I14" s="2">
        <f t="shared" si="1"/>
        <v>5.982031459868371</v>
      </c>
      <c r="J14" s="2">
        <f t="shared" si="2"/>
        <v>4.5787246986387036</v>
      </c>
      <c r="K14">
        <f t="shared" si="3"/>
        <v>9</v>
      </c>
    </row>
    <row r="15" spans="1:11" x14ac:dyDescent="0.3">
      <c r="A15">
        <v>14</v>
      </c>
      <c r="B15">
        <v>156</v>
      </c>
      <c r="C15" t="s">
        <v>17</v>
      </c>
      <c r="D15" s="2">
        <v>32906587903</v>
      </c>
      <c r="E15" s="2">
        <v>1001169799</v>
      </c>
      <c r="F15" s="2">
        <v>50652484687</v>
      </c>
      <c r="G15" s="2">
        <v>84560242389</v>
      </c>
      <c r="H15" s="2">
        <f t="shared" si="0"/>
        <v>38.914964022478543</v>
      </c>
      <c r="I15" s="2">
        <f t="shared" si="1"/>
        <v>1.1839722435921458</v>
      </c>
      <c r="J15" s="2">
        <f t="shared" si="2"/>
        <v>59.90106373392932</v>
      </c>
      <c r="K15">
        <f t="shared" si="3"/>
        <v>36</v>
      </c>
    </row>
    <row r="16" spans="1:11" x14ac:dyDescent="0.3">
      <c r="A16">
        <v>15</v>
      </c>
      <c r="B16">
        <v>157</v>
      </c>
      <c r="C16" t="s">
        <v>18</v>
      </c>
      <c r="D16" s="2">
        <v>245941683329</v>
      </c>
      <c r="E16" s="2">
        <v>131273507858</v>
      </c>
      <c r="F16" s="2">
        <v>286904549354</v>
      </c>
      <c r="G16" s="2">
        <v>664119740541</v>
      </c>
      <c r="H16" s="2">
        <f t="shared" si="0"/>
        <v>37.032731948105159</v>
      </c>
      <c r="I16" s="2">
        <f t="shared" si="1"/>
        <v>19.766542062288799</v>
      </c>
      <c r="J16" s="2">
        <f t="shared" si="2"/>
        <v>43.200725989606042</v>
      </c>
      <c r="K16">
        <f t="shared" si="3"/>
        <v>14</v>
      </c>
    </row>
    <row r="17" spans="1:11" x14ac:dyDescent="0.3">
      <c r="A17">
        <v>16</v>
      </c>
      <c r="B17">
        <v>158</v>
      </c>
      <c r="C17" t="s">
        <v>19</v>
      </c>
      <c r="D17" s="2">
        <v>1448126868</v>
      </c>
      <c r="E17" s="2">
        <v>499173443</v>
      </c>
      <c r="F17" s="2">
        <v>423926103</v>
      </c>
      <c r="G17" s="2">
        <v>2371226414</v>
      </c>
      <c r="H17" s="2">
        <f t="shared" si="0"/>
        <v>61.07079692812497</v>
      </c>
      <c r="I17" s="2">
        <f t="shared" si="1"/>
        <v>21.051277096645904</v>
      </c>
      <c r="J17" s="2">
        <f t="shared" si="2"/>
        <v>17.877925975229118</v>
      </c>
      <c r="K17">
        <f t="shared" si="3"/>
        <v>55</v>
      </c>
    </row>
    <row r="18" spans="1:11" x14ac:dyDescent="0.3">
      <c r="A18">
        <v>17</v>
      </c>
      <c r="B18">
        <v>159</v>
      </c>
      <c r="C18" t="s">
        <v>20</v>
      </c>
      <c r="D18" s="2">
        <v>1169132877</v>
      </c>
      <c r="E18" s="2">
        <v>863391657</v>
      </c>
      <c r="F18" s="2">
        <v>748400892</v>
      </c>
      <c r="G18" s="2">
        <v>2780925426</v>
      </c>
      <c r="H18" s="2">
        <f t="shared" si="0"/>
        <v>42.041144507842695</v>
      </c>
      <c r="I18" s="2">
        <f t="shared" si="1"/>
        <v>31.046918731721501</v>
      </c>
      <c r="J18" s="2">
        <f t="shared" si="2"/>
        <v>26.911936760435808</v>
      </c>
      <c r="K18">
        <f t="shared" si="3"/>
        <v>52</v>
      </c>
    </row>
    <row r="19" spans="1:11" x14ac:dyDescent="0.3">
      <c r="A19">
        <v>18</v>
      </c>
      <c r="B19">
        <v>160</v>
      </c>
      <c r="C19" t="s">
        <v>21</v>
      </c>
      <c r="D19" s="2">
        <v>1489436564</v>
      </c>
      <c r="E19" s="2">
        <v>493322360</v>
      </c>
      <c r="F19" s="2">
        <v>414315906</v>
      </c>
      <c r="G19" s="2">
        <v>2397074830</v>
      </c>
      <c r="H19" s="2">
        <f t="shared" si="0"/>
        <v>62.135588983678083</v>
      </c>
      <c r="I19" s="2">
        <f t="shared" si="1"/>
        <v>20.580181887771939</v>
      </c>
      <c r="J19" s="2">
        <f t="shared" si="2"/>
        <v>17.284229128549981</v>
      </c>
      <c r="K19">
        <f t="shared" si="3"/>
        <v>54</v>
      </c>
    </row>
    <row r="20" spans="1:11" x14ac:dyDescent="0.3">
      <c r="A20">
        <v>19</v>
      </c>
      <c r="B20">
        <v>161</v>
      </c>
      <c r="C20" t="s">
        <v>22</v>
      </c>
      <c r="D20" s="2">
        <v>131577404233</v>
      </c>
      <c r="E20" s="2">
        <v>47917266116</v>
      </c>
      <c r="F20" s="2">
        <v>113526967297</v>
      </c>
      <c r="G20" s="2">
        <v>293021637646</v>
      </c>
      <c r="H20" s="2">
        <f t="shared" si="0"/>
        <v>44.903647829570495</v>
      </c>
      <c r="I20" s="2">
        <f t="shared" si="1"/>
        <v>16.352808106918353</v>
      </c>
      <c r="J20" s="2">
        <f t="shared" si="2"/>
        <v>38.743544063511152</v>
      </c>
      <c r="K20">
        <f t="shared" si="3"/>
        <v>24</v>
      </c>
    </row>
    <row r="21" spans="1:11" x14ac:dyDescent="0.3">
      <c r="A21">
        <v>20</v>
      </c>
      <c r="B21">
        <v>164</v>
      </c>
      <c r="C21" t="s">
        <v>23</v>
      </c>
      <c r="D21" s="2">
        <v>7039182787</v>
      </c>
      <c r="E21" s="2">
        <v>1916810051</v>
      </c>
      <c r="F21" s="2">
        <v>4825111318</v>
      </c>
      <c r="G21" s="2">
        <v>13781104156</v>
      </c>
      <c r="H21" s="2">
        <f t="shared" si="0"/>
        <v>51.078510889385377</v>
      </c>
      <c r="I21" s="2">
        <f t="shared" si="1"/>
        <v>13.908972962558023</v>
      </c>
      <c r="J21" s="2">
        <f t="shared" si="2"/>
        <v>35.012516148056605</v>
      </c>
      <c r="K21">
        <f t="shared" si="3"/>
        <v>47</v>
      </c>
    </row>
    <row r="22" spans="1:11" x14ac:dyDescent="0.3">
      <c r="A22">
        <v>21</v>
      </c>
      <c r="B22">
        <v>215</v>
      </c>
      <c r="C22" t="s">
        <v>24</v>
      </c>
      <c r="D22" s="2">
        <v>136264346724</v>
      </c>
      <c r="E22" s="2">
        <v>11256793867</v>
      </c>
      <c r="F22" s="2">
        <v>1300452463830</v>
      </c>
      <c r="G22" s="2">
        <v>1447973604421</v>
      </c>
      <c r="H22" s="2">
        <f t="shared" si="0"/>
        <v>9.4106927300299716</v>
      </c>
      <c r="I22" s="2">
        <f t="shared" si="1"/>
        <v>0.77741706289606327</v>
      </c>
      <c r="J22" s="2">
        <f t="shared" si="2"/>
        <v>89.811890207073958</v>
      </c>
      <c r="K22">
        <f t="shared" si="3"/>
        <v>7</v>
      </c>
    </row>
    <row r="23" spans="1:11" x14ac:dyDescent="0.3">
      <c r="A23">
        <v>22</v>
      </c>
      <c r="B23">
        <v>220</v>
      </c>
      <c r="C23" t="s">
        <v>25</v>
      </c>
      <c r="D23" s="2">
        <v>54775408304</v>
      </c>
      <c r="E23" s="2">
        <v>15919150538565</v>
      </c>
      <c r="F23" s="2">
        <v>807346551133</v>
      </c>
      <c r="G23" s="2">
        <v>16781272498002</v>
      </c>
      <c r="H23" s="2">
        <f t="shared" si="0"/>
        <v>0.32640795452503157</v>
      </c>
      <c r="I23" s="2">
        <f t="shared" si="1"/>
        <v>94.862594838742737</v>
      </c>
      <c r="J23" s="2">
        <f t="shared" si="2"/>
        <v>4.8109972067322291</v>
      </c>
      <c r="K23">
        <f t="shared" si="3"/>
        <v>1</v>
      </c>
    </row>
    <row r="24" spans="1:11" x14ac:dyDescent="0.3">
      <c r="A24">
        <v>23</v>
      </c>
      <c r="B24">
        <v>222</v>
      </c>
      <c r="C24" t="s">
        <v>26</v>
      </c>
      <c r="D24" s="2">
        <v>26438444818</v>
      </c>
      <c r="E24" s="2">
        <v>5598604682</v>
      </c>
      <c r="F24" s="2">
        <v>55399199585</v>
      </c>
      <c r="G24" s="2">
        <v>87436249085</v>
      </c>
      <c r="H24" s="2">
        <f t="shared" si="0"/>
        <v>30.237395925228007</v>
      </c>
      <c r="I24" s="2">
        <f t="shared" si="1"/>
        <v>6.4030705120451694</v>
      </c>
      <c r="J24" s="2">
        <f t="shared" si="2"/>
        <v>63.359533562726824</v>
      </c>
      <c r="K24">
        <f t="shared" si="3"/>
        <v>34</v>
      </c>
    </row>
    <row r="25" spans="1:11" x14ac:dyDescent="0.3">
      <c r="A25">
        <v>24</v>
      </c>
      <c r="B25">
        <v>227</v>
      </c>
      <c r="C25" t="s">
        <v>27</v>
      </c>
      <c r="D25" s="2">
        <v>28847711401</v>
      </c>
      <c r="E25" s="2">
        <v>4993292158</v>
      </c>
      <c r="F25" s="2">
        <v>149791949431</v>
      </c>
      <c r="G25" s="2">
        <v>183632952990</v>
      </c>
      <c r="H25" s="2">
        <f t="shared" si="0"/>
        <v>15.709441541557601</v>
      </c>
      <c r="I25" s="2">
        <f t="shared" si="1"/>
        <v>2.7191699946533654</v>
      </c>
      <c r="J25" s="2">
        <f t="shared" si="2"/>
        <v>81.571388463789035</v>
      </c>
      <c r="K25">
        <f t="shared" si="3"/>
        <v>26</v>
      </c>
    </row>
    <row r="26" spans="1:11" x14ac:dyDescent="0.3">
      <c r="A26">
        <v>25</v>
      </c>
      <c r="B26">
        <v>228</v>
      </c>
      <c r="C26" t="s">
        <v>28</v>
      </c>
      <c r="D26" s="2">
        <v>85080335292</v>
      </c>
      <c r="E26" s="2">
        <v>8336534900</v>
      </c>
      <c r="F26" s="2">
        <v>745257210157</v>
      </c>
      <c r="G26" s="2">
        <v>838674080349</v>
      </c>
      <c r="H26" s="2">
        <f t="shared" si="0"/>
        <v>10.144624388128848</v>
      </c>
      <c r="I26" s="2">
        <f t="shared" si="1"/>
        <v>0.9940136574306544</v>
      </c>
      <c r="J26" s="2">
        <f t="shared" si="2"/>
        <v>88.861361954440497</v>
      </c>
      <c r="K26">
        <f t="shared" si="3"/>
        <v>12</v>
      </c>
    </row>
    <row r="27" spans="1:11" x14ac:dyDescent="0.3">
      <c r="A27">
        <v>26</v>
      </c>
      <c r="B27">
        <v>229</v>
      </c>
      <c r="C27" t="s">
        <v>29</v>
      </c>
      <c r="D27" s="2">
        <v>31989262336</v>
      </c>
      <c r="E27" s="2">
        <v>2540798201</v>
      </c>
      <c r="F27" s="2">
        <v>397768224488</v>
      </c>
      <c r="G27" s="2">
        <v>432298285025</v>
      </c>
      <c r="H27" s="2">
        <f t="shared" si="0"/>
        <v>7.3998124545301041</v>
      </c>
      <c r="I27" s="2">
        <f t="shared" si="1"/>
        <v>0.58774191085515515</v>
      </c>
      <c r="J27" s="2">
        <f t="shared" si="2"/>
        <v>92.012445634614735</v>
      </c>
      <c r="K27">
        <f t="shared" si="3"/>
        <v>19</v>
      </c>
    </row>
    <row r="28" spans="1:11" x14ac:dyDescent="0.3">
      <c r="A28">
        <v>27</v>
      </c>
      <c r="B28">
        <v>230</v>
      </c>
      <c r="C28" t="s">
        <v>30</v>
      </c>
      <c r="D28" s="2">
        <v>14779174252</v>
      </c>
      <c r="E28" s="2">
        <v>2338000548</v>
      </c>
      <c r="F28" s="2">
        <v>70192789683</v>
      </c>
      <c r="G28" s="2">
        <v>87309964483</v>
      </c>
      <c r="H28" s="2">
        <f t="shared" si="0"/>
        <v>16.927248040374167</v>
      </c>
      <c r="I28" s="2">
        <f t="shared" si="1"/>
        <v>2.6778164002749407</v>
      </c>
      <c r="J28" s="2">
        <f t="shared" si="2"/>
        <v>80.394935559350884</v>
      </c>
      <c r="K28">
        <f t="shared" si="3"/>
        <v>35</v>
      </c>
    </row>
    <row r="29" spans="1:11" x14ac:dyDescent="0.3">
      <c r="A29">
        <v>28</v>
      </c>
      <c r="B29">
        <v>231</v>
      </c>
      <c r="C29" t="s">
        <v>31</v>
      </c>
      <c r="D29" s="2">
        <v>6168020641</v>
      </c>
      <c r="E29" s="2">
        <v>4211403159</v>
      </c>
      <c r="F29" s="2">
        <v>1096723725158</v>
      </c>
      <c r="G29" s="2">
        <v>1107103148958</v>
      </c>
      <c r="H29" s="2">
        <f t="shared" si="0"/>
        <v>0.55713152354460471</v>
      </c>
      <c r="I29" s="2">
        <f t="shared" si="1"/>
        <v>0.38039844462223343</v>
      </c>
      <c r="J29" s="2">
        <f t="shared" si="2"/>
        <v>99.062470031833158</v>
      </c>
      <c r="K29">
        <f t="shared" si="3"/>
        <v>10</v>
      </c>
    </row>
    <row r="30" spans="1:11" x14ac:dyDescent="0.3">
      <c r="A30">
        <v>29</v>
      </c>
      <c r="B30">
        <v>232</v>
      </c>
      <c r="C30" t="s">
        <v>32</v>
      </c>
      <c r="D30" s="2">
        <v>52228859051</v>
      </c>
      <c r="E30" s="2">
        <v>5839381814</v>
      </c>
      <c r="F30" s="2">
        <v>13529745188</v>
      </c>
      <c r="G30" s="2">
        <v>71597986053</v>
      </c>
      <c r="H30" s="2">
        <f t="shared" si="0"/>
        <v>72.947385716042191</v>
      </c>
      <c r="I30" s="2">
        <f t="shared" si="1"/>
        <v>8.1557905967877797</v>
      </c>
      <c r="J30" s="2">
        <f t="shared" si="2"/>
        <v>18.896823687170034</v>
      </c>
      <c r="K30">
        <f t="shared" si="3"/>
        <v>38</v>
      </c>
    </row>
    <row r="31" spans="1:11" x14ac:dyDescent="0.3">
      <c r="A31">
        <v>30</v>
      </c>
      <c r="B31">
        <v>233</v>
      </c>
      <c r="C31" t="s">
        <v>33</v>
      </c>
      <c r="D31" s="2">
        <v>12718487788</v>
      </c>
      <c r="E31" s="2">
        <v>1952752773</v>
      </c>
      <c r="F31" s="2">
        <v>6849038708</v>
      </c>
      <c r="G31" s="2">
        <v>21520279269</v>
      </c>
      <c r="H31" s="2">
        <f t="shared" si="0"/>
        <v>59.100012732274365</v>
      </c>
      <c r="I31" s="2">
        <f t="shared" si="1"/>
        <v>9.0740122309330058</v>
      </c>
      <c r="J31" s="2">
        <f t="shared" si="2"/>
        <v>31.825975036792631</v>
      </c>
      <c r="K31">
        <f t="shared" si="3"/>
        <v>43</v>
      </c>
    </row>
    <row r="32" spans="1:11" x14ac:dyDescent="0.3">
      <c r="A32">
        <v>31</v>
      </c>
      <c r="B32">
        <v>234</v>
      </c>
      <c r="C32" t="s">
        <v>34</v>
      </c>
      <c r="D32" s="2">
        <v>12945161598</v>
      </c>
      <c r="E32" s="2">
        <v>35725820451</v>
      </c>
      <c r="F32" s="2">
        <v>3436981402572</v>
      </c>
      <c r="G32" s="2">
        <v>3485652384621</v>
      </c>
      <c r="H32" s="2">
        <f t="shared" si="0"/>
        <v>0.37138418205771678</v>
      </c>
      <c r="I32" s="2">
        <f t="shared" si="1"/>
        <v>1.0249392799071249</v>
      </c>
      <c r="J32" s="2">
        <f t="shared" si="2"/>
        <v>98.60367653803516</v>
      </c>
      <c r="K32">
        <f t="shared" si="3"/>
        <v>3</v>
      </c>
    </row>
    <row r="33" spans="1:11" x14ac:dyDescent="0.3">
      <c r="A33">
        <v>32</v>
      </c>
      <c r="B33">
        <v>238</v>
      </c>
      <c r="C33" t="s">
        <v>35</v>
      </c>
      <c r="D33" s="2">
        <v>2193538293226</v>
      </c>
      <c r="E33" s="2">
        <v>1398470754372</v>
      </c>
      <c r="F33" s="2">
        <v>5510989427112</v>
      </c>
      <c r="G33" s="2">
        <v>9102998474710</v>
      </c>
      <c r="H33" s="2">
        <f t="shared" si="0"/>
        <v>24.096876422863303</v>
      </c>
      <c r="I33" s="2">
        <f t="shared" si="1"/>
        <v>15.362748420284142</v>
      </c>
      <c r="J33" s="2">
        <f t="shared" si="2"/>
        <v>60.540375156852555</v>
      </c>
      <c r="K33">
        <f t="shared" si="3"/>
        <v>2</v>
      </c>
    </row>
    <row r="34" spans="1:11" x14ac:dyDescent="0.3">
      <c r="A34">
        <v>33</v>
      </c>
      <c r="B34">
        <v>242</v>
      </c>
      <c r="C34" t="s">
        <v>36</v>
      </c>
      <c r="D34" s="2">
        <v>1704772278</v>
      </c>
      <c r="E34" s="2">
        <v>1513959000</v>
      </c>
      <c r="F34" s="2">
        <v>1454429890</v>
      </c>
      <c r="G34" s="2">
        <v>4673161168</v>
      </c>
      <c r="H34" s="2">
        <f t="shared" si="0"/>
        <v>36.48006599202315</v>
      </c>
      <c r="I34" s="2">
        <f t="shared" si="1"/>
        <v>32.39689250109766</v>
      </c>
      <c r="J34" s="2">
        <f t="shared" si="2"/>
        <v>31.123041506879183</v>
      </c>
      <c r="K34">
        <f t="shared" si="3"/>
        <v>51</v>
      </c>
    </row>
    <row r="35" spans="1:11" x14ac:dyDescent="0.3">
      <c r="A35">
        <v>34</v>
      </c>
      <c r="B35">
        <v>246</v>
      </c>
      <c r="C35" t="s">
        <v>37</v>
      </c>
      <c r="D35" s="2">
        <v>3002529121</v>
      </c>
      <c r="E35" s="2">
        <v>1066301278</v>
      </c>
      <c r="F35" s="2">
        <v>641284628</v>
      </c>
      <c r="G35" s="2">
        <v>4710115027</v>
      </c>
      <c r="H35" s="2">
        <f t="shared" si="0"/>
        <v>63.746407546067772</v>
      </c>
      <c r="I35" s="2">
        <f t="shared" si="1"/>
        <v>22.63854007572202</v>
      </c>
      <c r="J35" s="2">
        <f t="shared" si="2"/>
        <v>13.61505237821021</v>
      </c>
      <c r="K35">
        <f t="shared" si="3"/>
        <v>50</v>
      </c>
    </row>
    <row r="36" spans="1:11" x14ac:dyDescent="0.3">
      <c r="A36">
        <v>35</v>
      </c>
      <c r="B36">
        <v>250</v>
      </c>
      <c r="C36" t="s">
        <v>38</v>
      </c>
      <c r="D36" s="2">
        <v>405337461</v>
      </c>
      <c r="E36" s="2">
        <v>738291539</v>
      </c>
      <c r="F36" s="2">
        <v>848043502</v>
      </c>
      <c r="G36" s="2">
        <v>1991672502</v>
      </c>
      <c r="H36" s="2">
        <f t="shared" si="0"/>
        <v>20.351612054339643</v>
      </c>
      <c r="I36" s="2">
        <f t="shared" si="1"/>
        <v>37.068922639571596</v>
      </c>
      <c r="J36" s="2">
        <f t="shared" si="2"/>
        <v>42.579465306088757</v>
      </c>
      <c r="K36">
        <f>RANK(G36,$G$2:$G$57,0)</f>
        <v>56</v>
      </c>
    </row>
    <row r="37" spans="1:11" x14ac:dyDescent="0.3">
      <c r="A37">
        <v>36</v>
      </c>
      <c r="B37">
        <v>252</v>
      </c>
      <c r="C37" t="s">
        <v>39</v>
      </c>
      <c r="D37" s="2">
        <v>19191257062</v>
      </c>
      <c r="E37" s="2">
        <v>4013360541</v>
      </c>
      <c r="F37" s="2">
        <v>435443565113</v>
      </c>
      <c r="G37" s="2">
        <v>458648182716</v>
      </c>
      <c r="H37" s="2">
        <f t="shared" si="0"/>
        <v>4.1843089725885685</v>
      </c>
      <c r="I37" s="2">
        <f t="shared" si="1"/>
        <v>0.87504119546138426</v>
      </c>
      <c r="J37" s="2">
        <f t="shared" si="2"/>
        <v>94.940649831950054</v>
      </c>
      <c r="K37">
        <f t="shared" si="3"/>
        <v>18</v>
      </c>
    </row>
    <row r="38" spans="1:11" x14ac:dyDescent="0.3">
      <c r="A38">
        <v>37</v>
      </c>
      <c r="B38">
        <v>253</v>
      </c>
      <c r="C38" t="s">
        <v>40</v>
      </c>
      <c r="D38" s="2">
        <v>7868368004</v>
      </c>
      <c r="E38" s="2">
        <v>2753391993</v>
      </c>
      <c r="F38" s="2">
        <v>95324545275</v>
      </c>
      <c r="G38" s="2">
        <v>105946305272</v>
      </c>
      <c r="H38" s="2">
        <f t="shared" si="0"/>
        <v>7.4267507335902261</v>
      </c>
      <c r="I38" s="2">
        <f t="shared" si="1"/>
        <v>2.5988560770770737</v>
      </c>
      <c r="J38" s="2">
        <f t="shared" si="2"/>
        <v>89.974393189332702</v>
      </c>
      <c r="K38">
        <f t="shared" si="3"/>
        <v>32</v>
      </c>
    </row>
    <row r="39" spans="1:11" x14ac:dyDescent="0.3">
      <c r="A39">
        <v>38</v>
      </c>
      <c r="B39">
        <v>254</v>
      </c>
      <c r="C39" t="s">
        <v>41</v>
      </c>
      <c r="D39" s="2">
        <v>10932775975</v>
      </c>
      <c r="E39" s="2">
        <v>1870467624</v>
      </c>
      <c r="F39" s="2">
        <v>136438709056</v>
      </c>
      <c r="G39" s="2">
        <v>149241952655</v>
      </c>
      <c r="H39" s="2">
        <f t="shared" si="0"/>
        <v>7.3255380142828246</v>
      </c>
      <c r="I39" s="2">
        <f t="shared" si="1"/>
        <v>1.2533122159852246</v>
      </c>
      <c r="J39" s="2">
        <f t="shared" si="2"/>
        <v>91.42114976973194</v>
      </c>
      <c r="K39">
        <f t="shared" si="3"/>
        <v>31</v>
      </c>
    </row>
    <row r="40" spans="1:11" x14ac:dyDescent="0.3">
      <c r="A40">
        <v>39</v>
      </c>
      <c r="B40">
        <v>255</v>
      </c>
      <c r="C40" t="s">
        <v>42</v>
      </c>
      <c r="D40" s="2">
        <v>5919668125</v>
      </c>
      <c r="E40" s="2">
        <v>785029113</v>
      </c>
      <c r="F40" s="2">
        <v>3712551109</v>
      </c>
      <c r="G40" s="2">
        <v>10417248347</v>
      </c>
      <c r="H40" s="2">
        <f t="shared" si="0"/>
        <v>56.825640781663509</v>
      </c>
      <c r="I40" s="2">
        <f t="shared" si="1"/>
        <v>7.535858672564677</v>
      </c>
      <c r="J40" s="2">
        <f t="shared" si="2"/>
        <v>35.638500545771812</v>
      </c>
      <c r="K40">
        <f t="shared" si="3"/>
        <v>48</v>
      </c>
    </row>
    <row r="41" spans="1:11" x14ac:dyDescent="0.3">
      <c r="A41">
        <v>40</v>
      </c>
      <c r="B41">
        <v>256</v>
      </c>
      <c r="C41" t="s">
        <v>43</v>
      </c>
      <c r="D41" s="2">
        <v>26799058992</v>
      </c>
      <c r="E41" s="2">
        <v>4791860095</v>
      </c>
      <c r="F41" s="2">
        <v>28231308132</v>
      </c>
      <c r="G41" s="2">
        <v>59822227219</v>
      </c>
      <c r="H41" s="2">
        <f t="shared" si="0"/>
        <v>44.79782889709665</v>
      </c>
      <c r="I41" s="2">
        <f t="shared" si="1"/>
        <v>8.0101666516990999</v>
      </c>
      <c r="J41" s="2">
        <f t="shared" si="2"/>
        <v>47.192004451204248</v>
      </c>
      <c r="K41">
        <f t="shared" si="3"/>
        <v>39</v>
      </c>
    </row>
    <row r="42" spans="1:11" x14ac:dyDescent="0.3">
      <c r="A42">
        <v>41</v>
      </c>
      <c r="B42">
        <v>257</v>
      </c>
      <c r="C42" t="s">
        <v>44</v>
      </c>
      <c r="D42" s="2">
        <v>5733690501</v>
      </c>
      <c r="E42" s="2">
        <v>3071183636</v>
      </c>
      <c r="F42" s="2">
        <v>147530456628</v>
      </c>
      <c r="G42" s="2">
        <v>156335330765</v>
      </c>
      <c r="H42" s="2">
        <f t="shared" si="0"/>
        <v>3.6675590047004563</v>
      </c>
      <c r="I42" s="2">
        <f t="shared" si="1"/>
        <v>1.9644846887595353</v>
      </c>
      <c r="J42" s="2">
        <f t="shared" si="2"/>
        <v>94.367956306540009</v>
      </c>
      <c r="K42">
        <f t="shared" si="3"/>
        <v>28</v>
      </c>
    </row>
    <row r="43" spans="1:11" x14ac:dyDescent="0.3">
      <c r="A43">
        <v>42</v>
      </c>
      <c r="B43">
        <v>265</v>
      </c>
      <c r="C43" t="s">
        <v>45</v>
      </c>
      <c r="D43" s="2">
        <v>14439616415</v>
      </c>
      <c r="E43" s="2">
        <v>3604272870</v>
      </c>
      <c r="F43" s="2">
        <v>63142282214</v>
      </c>
      <c r="G43" s="2">
        <v>81186171499</v>
      </c>
      <c r="H43" s="2">
        <f t="shared" si="0"/>
        <v>17.785807790157783</v>
      </c>
      <c r="I43" s="2">
        <f t="shared" si="1"/>
        <v>4.4395157493593542</v>
      </c>
      <c r="J43" s="2">
        <f t="shared" si="2"/>
        <v>77.774676460482866</v>
      </c>
      <c r="K43">
        <f t="shared" si="3"/>
        <v>37</v>
      </c>
    </row>
    <row r="44" spans="1:11" x14ac:dyDescent="0.3">
      <c r="A44">
        <v>43</v>
      </c>
      <c r="B44">
        <v>318</v>
      </c>
      <c r="C44" t="s">
        <v>46</v>
      </c>
      <c r="D44" s="2">
        <v>341625739236</v>
      </c>
      <c r="E44" s="2">
        <v>0</v>
      </c>
      <c r="F44" s="2">
        <v>0</v>
      </c>
      <c r="G44" s="2">
        <v>341625739236</v>
      </c>
      <c r="H44" s="2">
        <f t="shared" si="0"/>
        <v>100</v>
      </c>
      <c r="I44" s="2">
        <f t="shared" si="1"/>
        <v>0</v>
      </c>
      <c r="J44" s="2">
        <f t="shared" si="2"/>
        <v>0</v>
      </c>
      <c r="K44">
        <f t="shared" si="3"/>
        <v>23</v>
      </c>
    </row>
    <row r="45" spans="1:11" x14ac:dyDescent="0.3">
      <c r="A45">
        <v>44</v>
      </c>
      <c r="B45">
        <v>326</v>
      </c>
      <c r="C45" t="s">
        <v>47</v>
      </c>
      <c r="D45" s="2">
        <v>80598912219</v>
      </c>
      <c r="E45" s="2">
        <v>26090491834</v>
      </c>
      <c r="F45" s="2">
        <v>43855152492</v>
      </c>
      <c r="G45" s="2">
        <v>150544556545</v>
      </c>
      <c r="H45" s="2">
        <f t="shared" si="0"/>
        <v>53.538244137646906</v>
      </c>
      <c r="I45" s="2">
        <f t="shared" si="1"/>
        <v>17.330744088512535</v>
      </c>
      <c r="J45" s="2">
        <f t="shared" si="2"/>
        <v>29.131011773840555</v>
      </c>
      <c r="K45">
        <f t="shared" si="3"/>
        <v>30</v>
      </c>
    </row>
    <row r="46" spans="1:11" x14ac:dyDescent="0.3">
      <c r="A46">
        <v>45</v>
      </c>
      <c r="B46">
        <v>341</v>
      </c>
      <c r="C46" t="s">
        <v>48</v>
      </c>
      <c r="D46" s="2">
        <v>12098390920</v>
      </c>
      <c r="E46" s="2">
        <v>3817528905</v>
      </c>
      <c r="F46" s="2">
        <v>5204476168</v>
      </c>
      <c r="G46" s="2">
        <v>21120395993</v>
      </c>
      <c r="H46" s="2">
        <f t="shared" si="0"/>
        <v>57.282973879892253</v>
      </c>
      <c r="I46" s="2">
        <f t="shared" si="1"/>
        <v>18.075082049906904</v>
      </c>
      <c r="J46" s="2">
        <f t="shared" si="2"/>
        <v>24.641944070200843</v>
      </c>
      <c r="K46">
        <f t="shared" si="3"/>
        <v>44</v>
      </c>
    </row>
    <row r="47" spans="1:11" x14ac:dyDescent="0.3">
      <c r="A47">
        <v>46</v>
      </c>
      <c r="B47">
        <v>344</v>
      </c>
      <c r="C47" t="s">
        <v>49</v>
      </c>
      <c r="D47" s="2">
        <v>4048234462</v>
      </c>
      <c r="E47" s="2">
        <v>2425934693</v>
      </c>
      <c r="F47" s="2">
        <v>9274196706</v>
      </c>
      <c r="G47" s="2">
        <v>15748365861</v>
      </c>
      <c r="H47" s="2">
        <f t="shared" si="0"/>
        <v>25.705743044903723</v>
      </c>
      <c r="I47" s="2">
        <f t="shared" si="1"/>
        <v>15.40435823254335</v>
      </c>
      <c r="J47" s="2">
        <f t="shared" si="2"/>
        <v>58.889898722552928</v>
      </c>
      <c r="K47">
        <f t="shared" si="3"/>
        <v>46</v>
      </c>
    </row>
    <row r="48" spans="1:11" x14ac:dyDescent="0.3">
      <c r="A48">
        <v>47</v>
      </c>
      <c r="B48">
        <v>437</v>
      </c>
      <c r="C48" t="s">
        <v>50</v>
      </c>
      <c r="D48" s="2">
        <v>0</v>
      </c>
      <c r="E48" s="2">
        <v>0</v>
      </c>
      <c r="F48" s="2">
        <v>460737525183</v>
      </c>
      <c r="G48" s="2">
        <v>460737525183</v>
      </c>
      <c r="H48" s="2">
        <f t="shared" si="0"/>
        <v>0</v>
      </c>
      <c r="I48" s="2">
        <f t="shared" si="1"/>
        <v>0</v>
      </c>
      <c r="J48" s="2">
        <f t="shared" si="2"/>
        <v>100</v>
      </c>
      <c r="K48">
        <f t="shared" si="3"/>
        <v>17</v>
      </c>
    </row>
    <row r="49" spans="1:11" x14ac:dyDescent="0.3">
      <c r="A49">
        <v>48</v>
      </c>
      <c r="B49">
        <v>451</v>
      </c>
      <c r="C49" t="s">
        <v>51</v>
      </c>
      <c r="D49" s="2">
        <v>1326872939192</v>
      </c>
      <c r="E49" s="2">
        <v>6673609289</v>
      </c>
      <c r="F49" s="2">
        <v>17417686997</v>
      </c>
      <c r="G49" s="2">
        <v>1350964235478</v>
      </c>
      <c r="H49" s="2">
        <f t="shared" si="0"/>
        <v>98.216733229989913</v>
      </c>
      <c r="I49" s="2">
        <f t="shared" si="1"/>
        <v>0.49398859819843666</v>
      </c>
      <c r="J49" s="2">
        <f t="shared" si="2"/>
        <v>1.2892781718116506</v>
      </c>
      <c r="K49">
        <f t="shared" si="3"/>
        <v>8</v>
      </c>
    </row>
    <row r="50" spans="1:11" x14ac:dyDescent="0.3">
      <c r="A50">
        <v>49</v>
      </c>
      <c r="B50">
        <v>513</v>
      </c>
      <c r="C50" t="s">
        <v>52</v>
      </c>
      <c r="D50" s="2">
        <v>1215133932</v>
      </c>
      <c r="E50" s="2">
        <v>20354589253</v>
      </c>
      <c r="F50" s="2">
        <v>188463295467</v>
      </c>
      <c r="G50" s="2">
        <v>210033018652</v>
      </c>
      <c r="H50" s="2">
        <f t="shared" si="0"/>
        <v>0.57854424023364337</v>
      </c>
      <c r="I50" s="2">
        <f t="shared" si="1"/>
        <v>9.6911377952078848</v>
      </c>
      <c r="J50" s="2">
        <f t="shared" si="2"/>
        <v>89.730317964558466</v>
      </c>
      <c r="K50">
        <f t="shared" si="3"/>
        <v>25</v>
      </c>
    </row>
    <row r="51" spans="1:11" x14ac:dyDescent="0.3">
      <c r="A51">
        <v>50</v>
      </c>
      <c r="B51">
        <v>514</v>
      </c>
      <c r="C51" t="s">
        <v>53</v>
      </c>
      <c r="D51" s="2">
        <v>2663238572</v>
      </c>
      <c r="E51" s="2">
        <v>1253412987</v>
      </c>
      <c r="F51" s="2">
        <v>150399108799</v>
      </c>
      <c r="G51" s="2">
        <v>154315760358</v>
      </c>
      <c r="H51" s="2">
        <f t="shared" si="0"/>
        <v>1.7258370537276964</v>
      </c>
      <c r="I51" s="2">
        <f t="shared" si="1"/>
        <v>0.8122391284546594</v>
      </c>
      <c r="J51" s="2">
        <f t="shared" si="2"/>
        <v>97.461923817817649</v>
      </c>
      <c r="K51">
        <f t="shared" si="3"/>
        <v>29</v>
      </c>
    </row>
    <row r="52" spans="1:11" x14ac:dyDescent="0.3">
      <c r="A52">
        <v>51</v>
      </c>
      <c r="B52">
        <v>517</v>
      </c>
      <c r="C52" t="s">
        <v>54</v>
      </c>
      <c r="D52" s="2">
        <v>1679387148903</v>
      </c>
      <c r="E52" s="2">
        <v>127792767273</v>
      </c>
      <c r="F52" s="2">
        <v>591581403840</v>
      </c>
      <c r="G52" s="2">
        <v>2398761320016</v>
      </c>
      <c r="H52" s="2">
        <f t="shared" si="0"/>
        <v>70.010598173719018</v>
      </c>
      <c r="I52" s="2">
        <f t="shared" si="1"/>
        <v>5.3274482211572263</v>
      </c>
      <c r="J52" s="2">
        <f t="shared" si="2"/>
        <v>24.661953605123752</v>
      </c>
      <c r="K52">
        <f t="shared" si="3"/>
        <v>5</v>
      </c>
    </row>
    <row r="53" spans="1:11" x14ac:dyDescent="0.3">
      <c r="A53">
        <v>52</v>
      </c>
      <c r="B53">
        <v>521</v>
      </c>
      <c r="C53" t="s">
        <v>55</v>
      </c>
      <c r="D53" s="2">
        <v>1170495177648</v>
      </c>
      <c r="E53" s="2">
        <v>54649208124</v>
      </c>
      <c r="F53" s="2">
        <v>924221481359</v>
      </c>
      <c r="G53" s="2">
        <v>2149365867131</v>
      </c>
      <c r="H53" s="2">
        <f t="shared" si="0"/>
        <v>54.457698223820373</v>
      </c>
      <c r="I53" s="2">
        <f t="shared" si="1"/>
        <v>2.5425735543547283</v>
      </c>
      <c r="J53" s="2">
        <f t="shared" si="2"/>
        <v>42.999728221824896</v>
      </c>
      <c r="K53">
        <f t="shared" si="3"/>
        <v>6</v>
      </c>
    </row>
    <row r="54" spans="1:11" x14ac:dyDescent="0.3">
      <c r="A54">
        <v>53</v>
      </c>
      <c r="B54">
        <v>535</v>
      </c>
      <c r="C54" t="s">
        <v>56</v>
      </c>
      <c r="D54" s="2">
        <v>52015458836</v>
      </c>
      <c r="E54" s="2">
        <v>5939307583</v>
      </c>
      <c r="F54" s="2">
        <v>106190136839</v>
      </c>
      <c r="G54" s="2">
        <v>164144903258</v>
      </c>
      <c r="H54" s="2">
        <f t="shared" si="0"/>
        <v>31.688744398138908</v>
      </c>
      <c r="I54" s="2">
        <f t="shared" si="1"/>
        <v>3.6183320134312691</v>
      </c>
      <c r="J54" s="2">
        <f t="shared" si="2"/>
        <v>64.692923588429835</v>
      </c>
      <c r="K54">
        <f t="shared" si="3"/>
        <v>27</v>
      </c>
    </row>
    <row r="55" spans="1:11" x14ac:dyDescent="0.3">
      <c r="A55">
        <v>54</v>
      </c>
      <c r="B55">
        <v>543</v>
      </c>
      <c r="C55" t="s">
        <v>57</v>
      </c>
      <c r="D55" s="2">
        <v>17991244223</v>
      </c>
      <c r="E55" s="2">
        <v>1173647529</v>
      </c>
      <c r="F55" s="2">
        <v>12794316285</v>
      </c>
      <c r="G55" s="2">
        <v>31959208037</v>
      </c>
      <c r="H55" s="2">
        <f t="shared" si="0"/>
        <v>56.294399417441987</v>
      </c>
      <c r="I55" s="2">
        <f t="shared" si="1"/>
        <v>3.6723298263249764</v>
      </c>
      <c r="J55" s="2">
        <f t="shared" si="2"/>
        <v>40.033270756233044</v>
      </c>
      <c r="K55">
        <f t="shared" si="3"/>
        <v>40</v>
      </c>
    </row>
    <row r="56" spans="1:11" x14ac:dyDescent="0.3">
      <c r="A56">
        <v>55</v>
      </c>
      <c r="B56">
        <v>554</v>
      </c>
      <c r="C56" t="s">
        <v>58</v>
      </c>
      <c r="D56" s="2">
        <v>255384846528</v>
      </c>
      <c r="E56" s="2">
        <v>5565053032</v>
      </c>
      <c r="F56" s="2">
        <v>201703287647</v>
      </c>
      <c r="G56" s="2">
        <v>462653187207</v>
      </c>
      <c r="H56" s="2">
        <f t="shared" si="0"/>
        <v>55.200062074518009</v>
      </c>
      <c r="I56" s="2">
        <f t="shared" si="1"/>
        <v>1.2028563048696965</v>
      </c>
      <c r="J56" s="2">
        <f t="shared" si="2"/>
        <v>43.5970816206123</v>
      </c>
      <c r="K56">
        <f t="shared" si="3"/>
        <v>16</v>
      </c>
    </row>
    <row r="57" spans="1:11" x14ac:dyDescent="0.3">
      <c r="A57">
        <v>56</v>
      </c>
      <c r="B57">
        <v>555</v>
      </c>
      <c r="C57" t="s">
        <v>59</v>
      </c>
      <c r="D57" s="2">
        <v>446126794731</v>
      </c>
      <c r="E57" s="2">
        <v>51938850409</v>
      </c>
      <c r="F57" s="2">
        <v>20197216637</v>
      </c>
      <c r="G57" s="2">
        <v>518262861777</v>
      </c>
      <c r="H57" s="2">
        <f t="shared" si="0"/>
        <v>86.081181507263977</v>
      </c>
      <c r="I57" s="2">
        <f t="shared" si="1"/>
        <v>10.021719524897858</v>
      </c>
      <c r="J57" s="2">
        <f t="shared" si="2"/>
        <v>3.8970989678381649</v>
      </c>
      <c r="K57">
        <f t="shared" si="3"/>
        <v>15</v>
      </c>
    </row>
  </sheetData>
  <conditionalFormatting sqref="K1:K1048576">
    <cfRule type="top10" dxfId="0" priority="3" bottom="1" rank="10"/>
    <cfRule type="cellIs" dxfId="1" priority="2" operator="between">
      <formula>1</formula>
      <formula>10</formula>
    </cfRule>
    <cfRule type="cellIs" dxfId="2" priority="1" operator="between">
      <formula>46</formula>
      <formula>56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F2" sqref="F2"/>
    </sheetView>
  </sheetViews>
  <sheetFormatPr defaultRowHeight="14.4" x14ac:dyDescent="0.3"/>
  <cols>
    <col min="3" max="3" width="39.88671875" customWidth="1"/>
    <col min="4" max="4" width="23.6640625" customWidth="1"/>
  </cols>
  <sheetData>
    <row r="1" spans="1:4" x14ac:dyDescent="0.3">
      <c r="A1" t="s">
        <v>0</v>
      </c>
      <c r="B1" t="s">
        <v>60</v>
      </c>
      <c r="C1" t="s">
        <v>61</v>
      </c>
      <c r="D1" t="s">
        <v>3</v>
      </c>
    </row>
    <row r="2" spans="1:4" x14ac:dyDescent="0.3">
      <c r="A2">
        <v>1</v>
      </c>
      <c r="B2">
        <v>21</v>
      </c>
      <c r="C2" t="s">
        <v>62</v>
      </c>
      <c r="D2" s="1">
        <v>8354176058492</v>
      </c>
    </row>
    <row r="3" spans="1:4" x14ac:dyDescent="0.3">
      <c r="A3">
        <v>2</v>
      </c>
      <c r="B3">
        <v>22</v>
      </c>
      <c r="C3" t="s">
        <v>63</v>
      </c>
      <c r="D3" s="1">
        <v>1214122707677</v>
      </c>
    </row>
    <row r="4" spans="1:4" x14ac:dyDescent="0.3">
      <c r="A4">
        <v>3</v>
      </c>
      <c r="B4">
        <v>23</v>
      </c>
      <c r="C4" t="s">
        <v>64</v>
      </c>
      <c r="D4" s="1">
        <v>927059281814</v>
      </c>
    </row>
    <row r="5" spans="1:4" x14ac:dyDescent="0.3">
      <c r="A5">
        <v>4</v>
      </c>
      <c r="B5">
        <v>24</v>
      </c>
      <c r="C5" t="s">
        <v>65</v>
      </c>
      <c r="D5" s="1">
        <v>2641587108707</v>
      </c>
    </row>
    <row r="6" spans="1:4" x14ac:dyDescent="0.3">
      <c r="A6">
        <v>5</v>
      </c>
      <c r="B6">
        <v>25</v>
      </c>
      <c r="C6" t="s">
        <v>66</v>
      </c>
      <c r="D6" s="1">
        <v>5102872076986</v>
      </c>
    </row>
    <row r="7" spans="1:4" x14ac:dyDescent="0.3">
      <c r="A7">
        <v>6</v>
      </c>
      <c r="B7">
        <v>26</v>
      </c>
      <c r="C7" t="s">
        <v>67</v>
      </c>
      <c r="D7" s="1">
        <v>4097381103856</v>
      </c>
    </row>
    <row r="8" spans="1:4" x14ac:dyDescent="0.3">
      <c r="A8">
        <v>7</v>
      </c>
      <c r="B8">
        <v>27</v>
      </c>
      <c r="C8" t="s">
        <v>68</v>
      </c>
      <c r="D8" s="1">
        <v>15909361631657</v>
      </c>
    </row>
    <row r="9" spans="1:4" x14ac:dyDescent="0.3">
      <c r="A9">
        <v>8</v>
      </c>
      <c r="B9">
        <v>31</v>
      </c>
      <c r="C9" t="s">
        <v>69</v>
      </c>
      <c r="D9" s="1">
        <v>13345673201839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MDA's summary</vt:lpstr>
      <vt:lpstr>Summary of 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2026-05-10T18:51:42Z</dcterms:created>
  <dcterms:modified xsi:type="dcterms:W3CDTF">2026-05-11T01:17:22Z</dcterms:modified>
</cp:coreProperties>
</file>